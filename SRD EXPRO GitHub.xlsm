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filterPrivacy="1" codeName="ThisWorkbook" defaultThemeVersion="124226"/>
  <xr:revisionPtr revIDLastSave="0" documentId="13_ncr:1_{7974C7CC-6361-43AC-8B59-8F1A6F687D62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Calculation" sheetId="1" r:id="rId1"/>
    <sheet name="Constants" sheetId="4" r:id="rId2"/>
  </sheets>
  <definedNames>
    <definedName name="AllPiles">#REF!</definedName>
    <definedName name="AllSoils">#REF!</definedName>
    <definedName name="DIA">#REF!</definedName>
    <definedName name="FLim">Constants!$E$2:$E$19</definedName>
    <definedName name="Phi">Constants!$G$2:$G$7</definedName>
    <definedName name="PILE_DIA">#REF!</definedName>
    <definedName name="PileDia_m">#REF!</definedName>
    <definedName name="PileDiameters">#REF!</definedName>
    <definedName name="Piles">Constants!$C$2:$C$12</definedName>
    <definedName name="_xlnm.Print_Area" localSheetId="0">Calculation!#REF!</definedName>
    <definedName name="QLim">Constants!$F$2:$F$26</definedName>
    <definedName name="Soil">#REF!</definedName>
    <definedName name="Soils">Constants!$D$2:$D$3</definedName>
    <definedName name="Thick">#REF!</definedName>
    <definedName name="Thickness">Constants!$A$2:$A$151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" i="1" l="1"/>
  <c r="O2" i="1"/>
  <c r="C12" i="4" l="1"/>
  <c r="C11" i="4"/>
  <c r="C10" i="4"/>
  <c r="C9" i="4"/>
  <c r="C8" i="4"/>
  <c r="C7" i="4"/>
  <c r="C6" i="4"/>
  <c r="C5" i="4"/>
  <c r="C4" i="4"/>
  <c r="C3" i="4"/>
  <c r="C2" i="4"/>
  <c r="J2" i="1" l="1"/>
  <c r="J1" i="1"/>
  <c r="G1" i="1"/>
</calcChain>
</file>

<file path=xl/sharedStrings.xml><?xml version="1.0" encoding="utf-8"?>
<sst xmlns="http://schemas.openxmlformats.org/spreadsheetml/2006/main" count="52" uniqueCount="52">
  <si>
    <r>
      <t>Area (m</t>
    </r>
    <r>
      <rPr>
        <u/>
        <vertAlign val="superscript"/>
        <sz val="11"/>
        <color theme="1"/>
        <rFont val="Calibri"/>
        <family val="2"/>
        <scheme val="minor"/>
      </rPr>
      <t>2</t>
    </r>
    <r>
      <rPr>
        <u/>
        <sz val="11"/>
        <color theme="1"/>
        <rFont val="Calibri"/>
        <family val="2"/>
        <scheme val="minor"/>
      </rPr>
      <t>):</t>
    </r>
  </si>
  <si>
    <t>Ext. Perimeter (m):</t>
  </si>
  <si>
    <t>Int. Perimeter (m):</t>
  </si>
  <si>
    <r>
      <t>Pile wall Area (m</t>
    </r>
    <r>
      <rPr>
        <u/>
        <vertAlign val="superscript"/>
        <sz val="11"/>
        <color theme="1"/>
        <rFont val="Calibri"/>
        <family val="2"/>
        <scheme val="minor"/>
      </rPr>
      <t>2</t>
    </r>
    <r>
      <rPr>
        <u/>
        <sz val="11"/>
        <color theme="1"/>
        <rFont val="Calibri"/>
        <family val="2"/>
        <scheme val="minor"/>
      </rPr>
      <t>):</t>
    </r>
  </si>
  <si>
    <r>
      <t>Soil plug Area (m</t>
    </r>
    <r>
      <rPr>
        <u/>
        <vertAlign val="superscript"/>
        <sz val="11"/>
        <color theme="1"/>
        <rFont val="Calibri"/>
        <family val="2"/>
        <scheme val="minor"/>
      </rPr>
      <t>2</t>
    </r>
    <r>
      <rPr>
        <u/>
        <sz val="11"/>
        <color theme="1"/>
        <rFont val="Calibri"/>
        <family val="2"/>
        <scheme val="minor"/>
      </rPr>
      <t>):</t>
    </r>
  </si>
  <si>
    <t>Layer No:</t>
  </si>
  <si>
    <t>Soil</t>
  </si>
  <si>
    <t>Alpha</t>
  </si>
  <si>
    <t>Delta (Deg)</t>
  </si>
  <si>
    <t>Phi (Deg)</t>
  </si>
  <si>
    <t>Depth W.R.T Mudline (m)</t>
  </si>
  <si>
    <t>Limiting Skin Friction (kPa)</t>
  </si>
  <si>
    <t>Limiting End Bearing (kPa)</t>
  </si>
  <si>
    <t>Layer Thickness X Eff.Unit Weight</t>
  </si>
  <si>
    <t>Reduction Due to Scour</t>
  </si>
  <si>
    <t>External Pile Skin Friction in kN (C)</t>
  </si>
  <si>
    <t>Internal Pile Skin Friction in kN (C)</t>
  </si>
  <si>
    <t>External Pile Skin Friction in kN (T)</t>
  </si>
  <si>
    <t>Internal Pile Skin Friction in kN (T)</t>
  </si>
  <si>
    <t>Divisions of Layer (m)</t>
  </si>
  <si>
    <t>SRD (ONGC Criteria):</t>
  </si>
  <si>
    <t>S.F</t>
  </si>
  <si>
    <t>E.B</t>
  </si>
  <si>
    <t>SRD (Plugged) in MN</t>
  </si>
  <si>
    <t>SRD (50% Plugged) in MN</t>
  </si>
  <si>
    <t>SRD (Unplugged) in MN</t>
  </si>
  <si>
    <t>Pile Diameter (m):</t>
  </si>
  <si>
    <t>Thickness of Pile (mm):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</si>
  <si>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u</t>
    </r>
    <r>
      <rPr>
        <b/>
        <sz val="11"/>
        <color theme="1"/>
        <rFont val="Calibri"/>
        <family val="2"/>
        <scheme val="minor"/>
      </rPr>
      <t xml:space="preserve"> (kPa)</t>
    </r>
  </si>
  <si>
    <r>
      <t>Eff. Unit Weight (kN/m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</si>
  <si>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Clay/Silt (Undrained)</t>
  </si>
  <si>
    <t>Sand/Silt (Drained)</t>
  </si>
  <si>
    <t>Nq</t>
  </si>
  <si>
    <t>Clay:</t>
  </si>
  <si>
    <t>Sand:</t>
  </si>
  <si>
    <t>Thickness</t>
  </si>
  <si>
    <t>Diameters</t>
  </si>
  <si>
    <t>Soil Type</t>
  </si>
  <si>
    <t>Flim</t>
  </si>
  <si>
    <t>Qlim</t>
  </si>
  <si>
    <t>Friction Angle</t>
  </si>
  <si>
    <t>Over-burden Pressure (kPa)</t>
  </si>
  <si>
    <t>Unit Skin Friction (Comp. in kPa)</t>
  </si>
  <si>
    <t>Unit Skin Friction (Tension in kPa)</t>
  </si>
  <si>
    <t>End Bearing (Plugged in kN)</t>
  </si>
  <si>
    <t>End Bearing (50% Plugged in kN)</t>
  </si>
  <si>
    <t>End Bearing (Unplugged in kN)</t>
  </si>
  <si>
    <t>Unit End Bearing (kPa)</t>
  </si>
  <si>
    <t>Plug Length/Pile Penetration:</t>
  </si>
  <si>
    <t xml:space="preserve"> Internal/External SF in SRD:</t>
  </si>
  <si>
    <t>SRD IEOT in MN</t>
  </si>
  <si>
    <t xml:space="preserve">Note: For SRD IEOT, Internal SF for Clays is '0', Clays are Unplugged and Sands are Plugged.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</si>
</sst>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u/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0" fontId="0" fillId="2" borderId="1" xfId="0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0" fontId="0" fillId="3" borderId="1" xfId="0" applyFill="1" applyBorder="1" applyAlignment="1">
      <alignment horizontal="center"/>
    </xf>
    <xf numFmtId="0" fontId="2" fillId="4" borderId="1" xfId="0" applyFont="1" applyFill="1" applyBorder="1"/>
    <xf numFmtId="0" fontId="5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9" fontId="0" fillId="2" borderId="1" xfId="0" applyNumberFormat="1" applyFill="1" applyBorder="1" applyAlignment="1">
      <alignment horizontal="center" vertical="center"/>
    </xf>
    <xf numFmtId="0" fontId="0" fillId="4" borderId="1" xfId="0" applyFill="1" applyBorder="1"/>
    <xf numFmtId="9" fontId="0" fillId="2" borderId="2" xfId="0" applyNumberFormat="1" applyFill="1" applyBorder="1" applyAlignment="1">
      <alignment horizontal="center" vertical="center"/>
    </xf>
    <xf numFmtId="0" fontId="2" fillId="0" borderId="1" xfId="0" applyFont="1" applyBorder="1" applyAlignment="1">
      <alignment horizontal="right"/>
    </xf>
    <xf numFmtId="0" fontId="2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240030</xdr:colOff>
          <xdr:row>3</xdr:row>
          <xdr:rowOff>0</xdr:rowOff>
        </xdr:from>
        <xdr:to>
          <xdr:col>5</xdr:col>
          <xdr:colOff>11430</xdr:colOff>
          <xdr:row>5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Parameters Entry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30480</xdr:rowOff>
        </xdr:from>
        <xdr:to>
          <xdr:col>1</xdr:col>
          <xdr:colOff>144780</xdr:colOff>
          <xdr:row>5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190897</xdr:colOff>
      <xdr:row>3</xdr:row>
      <xdr:rowOff>133350</xdr:rowOff>
    </xdr:from>
    <xdr:to>
      <xdr:col>2</xdr:col>
      <xdr:colOff>190898</xdr:colOff>
      <xdr:row>4</xdr:row>
      <xdr:rowOff>123825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7694" y="758428"/>
          <a:ext cx="446485" cy="17899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424772</xdr:colOff>
      <xdr:row>3</xdr:row>
      <xdr:rowOff>107156</xdr:rowOff>
    </xdr:from>
    <xdr:to>
      <xdr:col>7</xdr:col>
      <xdr:colOff>583407</xdr:colOff>
      <xdr:row>5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32428" y="726281"/>
          <a:ext cx="658698" cy="27384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Results</a:t>
          </a:r>
        </a:p>
      </xdr:txBody>
    </xdr:sp>
    <xdr:clientData/>
  </xdr:twoCellAnchor>
  <xdr:twoCellAnchor>
    <xdr:from>
      <xdr:col>5</xdr:col>
      <xdr:colOff>130690</xdr:colOff>
      <xdr:row>3</xdr:row>
      <xdr:rowOff>132902</xdr:rowOff>
    </xdr:from>
    <xdr:to>
      <xdr:col>6</xdr:col>
      <xdr:colOff>346333</xdr:colOff>
      <xdr:row>4</xdr:row>
      <xdr:rowOff>134867</xdr:rowOff>
    </xdr:to>
    <xdr:sp macro="" textlink="">
      <xdr:nvSpPr>
        <xdr:cNvPr id="7" name="Right Arrow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895866" y="738020"/>
          <a:ext cx="738585" cy="188729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C7"/>
  <sheetViews>
    <sheetView tabSelected="1" zoomScale="85" zoomScaleNormal="85" workbookViewId="0">
      <selection activeCell="AC7" sqref="AC7"/>
    </sheetView>
  </sheetViews>
  <sheetFormatPr defaultRowHeight="14.4" x14ac:dyDescent="0.55000000000000004"/>
  <cols>
    <col min="1" max="1" width="6.15625" customWidth="1"/>
    <col min="2" max="2" width="17.68359375" customWidth="1"/>
    <col min="3" max="3" width="13.68359375" customWidth="1"/>
    <col min="4" max="4" width="10.15625" customWidth="1"/>
    <col min="5" max="5" width="7" customWidth="1"/>
    <col min="6" max="6" width="7.41796875" customWidth="1"/>
    <col min="7" max="7" width="7.578125" customWidth="1"/>
    <col min="8" max="8" width="9.578125" customWidth="1"/>
    <col min="11" max="11" width="8.41796875" customWidth="1"/>
    <col min="12" max="12" width="9.578125" hidden="1" customWidth="1"/>
    <col min="13" max="13" width="11.15625" customWidth="1"/>
    <col min="14" max="14" width="0.83984375" hidden="1" customWidth="1"/>
    <col min="15" max="15" width="8.15625" customWidth="1"/>
    <col min="16" max="16" width="9" customWidth="1"/>
    <col min="17" max="17" width="9.26171875" customWidth="1"/>
    <col min="18" max="18" width="9.41796875" customWidth="1"/>
    <col min="21" max="22" width="0" hidden="1" customWidth="1"/>
    <col min="23" max="23" width="8.83984375" bestFit="1" customWidth="1"/>
    <col min="24" max="24" width="18.15625" customWidth="1"/>
    <col min="25" max="25" width="11.15625" customWidth="1"/>
    <col min="26" max="26" width="11.578125" customWidth="1"/>
    <col min="27" max="27" width="9.15625" customWidth="1"/>
    <col min="28" max="28" width="12.41796875" customWidth="1"/>
  </cols>
  <sheetData>
    <row r="1" spans="1:29" ht="16.5" x14ac:dyDescent="0.55000000000000004">
      <c r="B1" s="4"/>
      <c r="C1" s="2" t="s">
        <v>26</v>
      </c>
      <c r="D1" s="5">
        <v>1.8288</v>
      </c>
      <c r="F1" s="6" t="s">
        <v>0</v>
      </c>
      <c r="G1" s="7">
        <f>ROUND(PI()*(Calculation!D1)*(Calculation!D1)/4,3)</f>
        <v>2.6269999999999998</v>
      </c>
      <c r="H1" s="3" t="s">
        <v>1</v>
      </c>
      <c r="J1" s="7">
        <f>ROUND(PI()*Calculation!D1,3)</f>
        <v>5.7450000000000001</v>
      </c>
      <c r="K1" s="4" t="s">
        <v>4</v>
      </c>
      <c r="O1" s="7">
        <f>ROUND(0.25*PI()*(Calculation!D1-2*Calculation!D2/1000)*(Calculation!D1-2*Calculation!D2/1000),3)</f>
        <v>2.3420000000000001</v>
      </c>
      <c r="P1" s="4"/>
      <c r="Q1" s="8" t="s">
        <v>20</v>
      </c>
      <c r="R1" s="13"/>
      <c r="S1" s="9" t="s">
        <v>21</v>
      </c>
      <c r="T1" s="10" t="s">
        <v>22</v>
      </c>
      <c r="X1" s="15" t="s">
        <v>48</v>
      </c>
      <c r="Y1" s="14">
        <v>1</v>
      </c>
    </row>
    <row r="2" spans="1:29" ht="16.5" x14ac:dyDescent="0.55000000000000004">
      <c r="B2" s="4"/>
      <c r="C2" s="2" t="s">
        <v>27</v>
      </c>
      <c r="D2" s="5">
        <v>51</v>
      </c>
      <c r="H2" s="3" t="s">
        <v>2</v>
      </c>
      <c r="J2" s="7">
        <f>ROUND(PI()*(Calculation!D1-2*Calculation!D2/1000),3)</f>
        <v>5.4249999999999998</v>
      </c>
      <c r="K2" s="4" t="s">
        <v>3</v>
      </c>
      <c r="O2" s="7">
        <f>ROUND(0.25*PI()*((Calculation!D1)^2-(Calculation!D1-2*Calculation!D2/1000)^2),3)</f>
        <v>0.28499999999999998</v>
      </c>
      <c r="P2" s="4"/>
      <c r="R2" s="6" t="s">
        <v>33</v>
      </c>
      <c r="S2" s="12">
        <v>0.5</v>
      </c>
      <c r="T2" s="12">
        <v>0</v>
      </c>
      <c r="U2" s="1"/>
      <c r="X2" s="2" t="s">
        <v>49</v>
      </c>
      <c r="Y2" s="14">
        <v>0.5</v>
      </c>
    </row>
    <row r="3" spans="1:29" s="1" customFormat="1" x14ac:dyDescent="0.55000000000000004">
      <c r="R3" s="6" t="s">
        <v>34</v>
      </c>
      <c r="S3" s="12">
        <v>1</v>
      </c>
      <c r="T3" s="12">
        <v>1</v>
      </c>
      <c r="W3" s="16" t="s">
        <v>51</v>
      </c>
    </row>
    <row r="7" spans="1:29" s="11" customFormat="1" ht="86.1" customHeight="1" x14ac:dyDescent="0.55000000000000004">
      <c r="A7" s="11" t="s">
        <v>5</v>
      </c>
      <c r="B7" s="11" t="s">
        <v>6</v>
      </c>
      <c r="C7" s="11" t="s">
        <v>10</v>
      </c>
      <c r="D7" s="11" t="s">
        <v>29</v>
      </c>
      <c r="E7" s="11" t="s">
        <v>28</v>
      </c>
      <c r="F7" s="11" t="s">
        <v>9</v>
      </c>
      <c r="G7" s="11" t="s">
        <v>8</v>
      </c>
      <c r="H7" s="11" t="s">
        <v>19</v>
      </c>
      <c r="I7" s="11" t="s">
        <v>11</v>
      </c>
      <c r="J7" s="11" t="s">
        <v>12</v>
      </c>
      <c r="K7" s="11" t="s">
        <v>32</v>
      </c>
      <c r="L7" s="11" t="s">
        <v>13</v>
      </c>
      <c r="M7" s="11" t="s">
        <v>41</v>
      </c>
      <c r="N7" s="11" t="s">
        <v>14</v>
      </c>
      <c r="O7" s="11" t="s">
        <v>7</v>
      </c>
      <c r="P7" s="11" t="s">
        <v>42</v>
      </c>
      <c r="Q7" s="11" t="s">
        <v>43</v>
      </c>
      <c r="R7" s="11" t="s">
        <v>47</v>
      </c>
      <c r="S7" s="11" t="s">
        <v>15</v>
      </c>
      <c r="T7" s="11" t="s">
        <v>16</v>
      </c>
      <c r="U7" s="11" t="s">
        <v>17</v>
      </c>
      <c r="V7" s="11" t="s">
        <v>18</v>
      </c>
      <c r="W7" s="11" t="s">
        <v>44</v>
      </c>
      <c r="X7" s="11" t="s">
        <v>45</v>
      </c>
      <c r="Y7" s="11" t="s">
        <v>46</v>
      </c>
      <c r="Z7" s="11" t="s">
        <v>23</v>
      </c>
      <c r="AA7" s="11" t="s">
        <v>24</v>
      </c>
      <c r="AB7" s="11" t="s">
        <v>25</v>
      </c>
      <c r="AC7" s="11" t="s">
        <v>50</v>
      </c>
    </row>
  </sheetData>
  <dataValidations count="2">
    <dataValidation type="list" allowBlank="1" showInputMessage="1" showErrorMessage="1" sqref="D1" xr:uid="{00000000-0002-0000-0000-000000000000}">
      <formula1>Piles</formula1>
    </dataValidation>
    <dataValidation type="list" allowBlank="1" showInputMessage="1" showErrorMessage="1" sqref="D2" xr:uid="{00000000-0002-0000-0000-000001000000}">
      <formula1>Thickness</formula1>
    </dataValidation>
  </dataValidations>
  <printOptions horizontalCentered="1" verticalCentered="1"/>
  <pageMargins left="0.25" right="0.25" top="0.75" bottom="0.75" header="0.3" footer="0.3"/>
  <pageSetup paperSize="9" scale="85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ilDataUserForm">
                <anchor moveWithCells="1">
                  <from>
                    <xdr:col>2</xdr:col>
                    <xdr:colOff>240030</xdr:colOff>
                    <xdr:row>3</xdr:row>
                    <xdr:rowOff>0</xdr:rowOff>
                  </from>
                  <to>
                    <xdr:col>5</xdr:col>
                    <xdr:colOff>11430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hisWorkbook.TopMenu">
                <anchor moveWithCells="1">
                  <from>
                    <xdr:col>0</xdr:col>
                    <xdr:colOff>76200</xdr:colOff>
                    <xdr:row>3</xdr:row>
                    <xdr:rowOff>30480</xdr:rowOff>
                  </from>
                  <to>
                    <xdr:col>1</xdr:col>
                    <xdr:colOff>144780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51"/>
  <sheetViews>
    <sheetView workbookViewId="0">
      <selection activeCell="H15" sqref="H15"/>
    </sheetView>
  </sheetViews>
  <sheetFormatPr defaultRowHeight="14.4" x14ac:dyDescent="0.55000000000000004"/>
  <cols>
    <col min="1" max="1" width="8.83984375" bestFit="1" customWidth="1"/>
    <col min="2" max="2" width="9.41796875" bestFit="1" customWidth="1"/>
    <col min="4" max="4" width="18.26171875" bestFit="1" customWidth="1"/>
    <col min="7" max="7" width="12.15625" bestFit="1" customWidth="1"/>
  </cols>
  <sheetData>
    <row r="1" spans="1:7" x14ac:dyDescent="0.55000000000000004">
      <c r="A1" t="s">
        <v>35</v>
      </c>
      <c r="B1" t="s">
        <v>36</v>
      </c>
      <c r="D1" t="s">
        <v>37</v>
      </c>
      <c r="E1" t="s">
        <v>38</v>
      </c>
      <c r="F1" t="s">
        <v>39</v>
      </c>
      <c r="G1" t="s">
        <v>40</v>
      </c>
    </row>
    <row r="2" spans="1:7" x14ac:dyDescent="0.55000000000000004">
      <c r="A2">
        <v>1</v>
      </c>
      <c r="B2" s="1">
        <v>30</v>
      </c>
      <c r="C2" s="1">
        <f t="shared" ref="C2:C3" si="0">B2*25.4/1000</f>
        <v>0.76200000000000001</v>
      </c>
      <c r="D2" t="s">
        <v>30</v>
      </c>
      <c r="E2">
        <v>0</v>
      </c>
      <c r="F2">
        <v>0</v>
      </c>
      <c r="G2">
        <v>15</v>
      </c>
    </row>
    <row r="3" spans="1:7" x14ac:dyDescent="0.55000000000000004">
      <c r="A3">
        <v>2</v>
      </c>
      <c r="B3" s="1">
        <v>36</v>
      </c>
      <c r="C3" s="1">
        <f t="shared" si="0"/>
        <v>0.91439999999999999</v>
      </c>
      <c r="D3" t="s">
        <v>31</v>
      </c>
      <c r="E3">
        <v>10</v>
      </c>
      <c r="F3">
        <v>500</v>
      </c>
      <c r="G3">
        <v>20</v>
      </c>
    </row>
    <row r="4" spans="1:7" x14ac:dyDescent="0.55000000000000004">
      <c r="A4">
        <v>3</v>
      </c>
      <c r="B4" s="1">
        <v>48</v>
      </c>
      <c r="C4" s="1">
        <f>B4*25.4/1000</f>
        <v>1.2191999999999998</v>
      </c>
      <c r="E4">
        <v>20</v>
      </c>
      <c r="F4">
        <v>1000</v>
      </c>
      <c r="G4">
        <v>25</v>
      </c>
    </row>
    <row r="5" spans="1:7" x14ac:dyDescent="0.55000000000000004">
      <c r="A5">
        <v>4</v>
      </c>
      <c r="B5" s="1">
        <v>54</v>
      </c>
      <c r="C5" s="1">
        <f t="shared" ref="C5:C12" si="1">B5*25.4/1000</f>
        <v>1.3715999999999999</v>
      </c>
      <c r="E5">
        <v>30</v>
      </c>
      <c r="F5">
        <v>1500</v>
      </c>
      <c r="G5">
        <v>30</v>
      </c>
    </row>
    <row r="6" spans="1:7" x14ac:dyDescent="0.55000000000000004">
      <c r="A6">
        <v>5</v>
      </c>
      <c r="B6" s="1">
        <v>60</v>
      </c>
      <c r="C6" s="1">
        <f t="shared" si="1"/>
        <v>1.524</v>
      </c>
      <c r="E6">
        <v>40</v>
      </c>
      <c r="F6">
        <v>2000</v>
      </c>
      <c r="G6">
        <v>35</v>
      </c>
    </row>
    <row r="7" spans="1:7" x14ac:dyDescent="0.55000000000000004">
      <c r="A7">
        <v>6</v>
      </c>
      <c r="B7" s="1">
        <v>66</v>
      </c>
      <c r="C7" s="1">
        <f t="shared" si="1"/>
        <v>1.6763999999999999</v>
      </c>
      <c r="E7">
        <v>48</v>
      </c>
      <c r="F7">
        <v>2500</v>
      </c>
      <c r="G7">
        <v>40</v>
      </c>
    </row>
    <row r="8" spans="1:7" x14ac:dyDescent="0.55000000000000004">
      <c r="A8">
        <v>7</v>
      </c>
      <c r="B8" s="1">
        <v>72</v>
      </c>
      <c r="C8" s="1">
        <f t="shared" si="1"/>
        <v>1.8288</v>
      </c>
      <c r="E8">
        <v>50</v>
      </c>
      <c r="F8">
        <v>3000</v>
      </c>
    </row>
    <row r="9" spans="1:7" x14ac:dyDescent="0.55000000000000004">
      <c r="A9">
        <v>8</v>
      </c>
      <c r="B9" s="1">
        <v>78</v>
      </c>
      <c r="C9" s="1">
        <f t="shared" si="1"/>
        <v>1.9811999999999999</v>
      </c>
      <c r="E9">
        <v>60</v>
      </c>
      <c r="F9">
        <v>3500</v>
      </c>
    </row>
    <row r="10" spans="1:7" x14ac:dyDescent="0.55000000000000004">
      <c r="A10">
        <v>9</v>
      </c>
      <c r="B10" s="1">
        <v>84</v>
      </c>
      <c r="C10" s="1">
        <f t="shared" si="1"/>
        <v>2.1335999999999999</v>
      </c>
      <c r="E10">
        <v>67</v>
      </c>
      <c r="F10">
        <v>4000</v>
      </c>
    </row>
    <row r="11" spans="1:7" x14ac:dyDescent="0.55000000000000004">
      <c r="A11">
        <v>10</v>
      </c>
      <c r="B11" s="1">
        <v>96</v>
      </c>
      <c r="C11" s="1">
        <f t="shared" si="1"/>
        <v>2.4383999999999997</v>
      </c>
      <c r="E11">
        <v>70</v>
      </c>
      <c r="F11">
        <v>4500</v>
      </c>
    </row>
    <row r="12" spans="1:7" x14ac:dyDescent="0.55000000000000004">
      <c r="A12">
        <v>11</v>
      </c>
      <c r="B12" s="1">
        <v>108</v>
      </c>
      <c r="C12" s="1">
        <f t="shared" si="1"/>
        <v>2.7431999999999999</v>
      </c>
      <c r="E12">
        <v>80</v>
      </c>
      <c r="F12">
        <v>5000</v>
      </c>
    </row>
    <row r="13" spans="1:7" x14ac:dyDescent="0.55000000000000004">
      <c r="A13">
        <v>12</v>
      </c>
      <c r="E13">
        <v>81</v>
      </c>
      <c r="F13">
        <v>5500</v>
      </c>
    </row>
    <row r="14" spans="1:7" x14ac:dyDescent="0.55000000000000004">
      <c r="A14">
        <v>13</v>
      </c>
      <c r="E14">
        <v>90</v>
      </c>
      <c r="F14">
        <v>6000</v>
      </c>
    </row>
    <row r="15" spans="1:7" x14ac:dyDescent="0.55000000000000004">
      <c r="A15">
        <v>14</v>
      </c>
      <c r="E15">
        <v>96</v>
      </c>
      <c r="F15">
        <v>6500</v>
      </c>
    </row>
    <row r="16" spans="1:7" x14ac:dyDescent="0.55000000000000004">
      <c r="A16">
        <v>15</v>
      </c>
      <c r="E16">
        <v>100</v>
      </c>
      <c r="F16">
        <v>7000</v>
      </c>
    </row>
    <row r="17" spans="1:6" x14ac:dyDescent="0.55000000000000004">
      <c r="A17">
        <v>16</v>
      </c>
      <c r="E17">
        <v>110</v>
      </c>
      <c r="F17">
        <v>7500</v>
      </c>
    </row>
    <row r="18" spans="1:6" x14ac:dyDescent="0.55000000000000004">
      <c r="A18">
        <v>17</v>
      </c>
      <c r="E18">
        <v>115</v>
      </c>
      <c r="F18">
        <v>8000</v>
      </c>
    </row>
    <row r="19" spans="1:6" x14ac:dyDescent="0.55000000000000004">
      <c r="A19">
        <v>18</v>
      </c>
      <c r="E19">
        <v>120</v>
      </c>
      <c r="F19">
        <v>8500</v>
      </c>
    </row>
    <row r="20" spans="1:6" x14ac:dyDescent="0.55000000000000004">
      <c r="A20">
        <v>19</v>
      </c>
      <c r="F20">
        <v>9000</v>
      </c>
    </row>
    <row r="21" spans="1:6" x14ac:dyDescent="0.55000000000000004">
      <c r="A21">
        <v>20</v>
      </c>
      <c r="F21">
        <v>9500</v>
      </c>
    </row>
    <row r="22" spans="1:6" x14ac:dyDescent="0.55000000000000004">
      <c r="A22">
        <v>21</v>
      </c>
      <c r="F22">
        <v>10000</v>
      </c>
    </row>
    <row r="23" spans="1:6" x14ac:dyDescent="0.55000000000000004">
      <c r="A23">
        <v>22</v>
      </c>
      <c r="F23">
        <v>10500</v>
      </c>
    </row>
    <row r="24" spans="1:6" x14ac:dyDescent="0.55000000000000004">
      <c r="A24">
        <v>23</v>
      </c>
      <c r="F24">
        <v>11000</v>
      </c>
    </row>
    <row r="25" spans="1:6" x14ac:dyDescent="0.55000000000000004">
      <c r="A25">
        <v>24</v>
      </c>
      <c r="F25">
        <v>11500</v>
      </c>
    </row>
    <row r="26" spans="1:6" x14ac:dyDescent="0.55000000000000004">
      <c r="A26">
        <v>25</v>
      </c>
      <c r="F26">
        <v>12000</v>
      </c>
    </row>
    <row r="27" spans="1:6" x14ac:dyDescent="0.55000000000000004">
      <c r="A27">
        <v>26</v>
      </c>
    </row>
    <row r="28" spans="1:6" x14ac:dyDescent="0.55000000000000004">
      <c r="A28">
        <v>27</v>
      </c>
    </row>
    <row r="29" spans="1:6" x14ac:dyDescent="0.55000000000000004">
      <c r="A29">
        <v>28</v>
      </c>
    </row>
    <row r="30" spans="1:6" x14ac:dyDescent="0.55000000000000004">
      <c r="A30">
        <v>29</v>
      </c>
    </row>
    <row r="31" spans="1:6" x14ac:dyDescent="0.55000000000000004">
      <c r="A31">
        <v>30</v>
      </c>
    </row>
    <row r="32" spans="1:6" x14ac:dyDescent="0.55000000000000004">
      <c r="A32">
        <v>31</v>
      </c>
    </row>
    <row r="33" spans="1:1" x14ac:dyDescent="0.55000000000000004">
      <c r="A33">
        <v>32</v>
      </c>
    </row>
    <row r="34" spans="1:1" x14ac:dyDescent="0.55000000000000004">
      <c r="A34">
        <v>33</v>
      </c>
    </row>
    <row r="35" spans="1:1" x14ac:dyDescent="0.55000000000000004">
      <c r="A35">
        <v>34</v>
      </c>
    </row>
    <row r="36" spans="1:1" x14ac:dyDescent="0.55000000000000004">
      <c r="A36">
        <v>35</v>
      </c>
    </row>
    <row r="37" spans="1:1" x14ac:dyDescent="0.55000000000000004">
      <c r="A37">
        <v>36</v>
      </c>
    </row>
    <row r="38" spans="1:1" x14ac:dyDescent="0.55000000000000004">
      <c r="A38">
        <v>37</v>
      </c>
    </row>
    <row r="39" spans="1:1" x14ac:dyDescent="0.55000000000000004">
      <c r="A39">
        <v>38</v>
      </c>
    </row>
    <row r="40" spans="1:1" x14ac:dyDescent="0.55000000000000004">
      <c r="A40">
        <v>39</v>
      </c>
    </row>
    <row r="41" spans="1:1" x14ac:dyDescent="0.55000000000000004">
      <c r="A41">
        <v>40</v>
      </c>
    </row>
    <row r="42" spans="1:1" x14ac:dyDescent="0.55000000000000004">
      <c r="A42">
        <v>41</v>
      </c>
    </row>
    <row r="43" spans="1:1" x14ac:dyDescent="0.55000000000000004">
      <c r="A43">
        <v>42</v>
      </c>
    </row>
    <row r="44" spans="1:1" x14ac:dyDescent="0.55000000000000004">
      <c r="A44">
        <v>43</v>
      </c>
    </row>
    <row r="45" spans="1:1" x14ac:dyDescent="0.55000000000000004">
      <c r="A45">
        <v>44</v>
      </c>
    </row>
    <row r="46" spans="1:1" x14ac:dyDescent="0.55000000000000004">
      <c r="A46">
        <v>45</v>
      </c>
    </row>
    <row r="47" spans="1:1" x14ac:dyDescent="0.55000000000000004">
      <c r="A47">
        <v>46</v>
      </c>
    </row>
    <row r="48" spans="1:1" x14ac:dyDescent="0.55000000000000004">
      <c r="A48">
        <v>47</v>
      </c>
    </row>
    <row r="49" spans="1:1" x14ac:dyDescent="0.55000000000000004">
      <c r="A49">
        <v>48</v>
      </c>
    </row>
    <row r="50" spans="1:1" x14ac:dyDescent="0.55000000000000004">
      <c r="A50">
        <v>49</v>
      </c>
    </row>
    <row r="51" spans="1:1" x14ac:dyDescent="0.55000000000000004">
      <c r="A51">
        <v>50</v>
      </c>
    </row>
    <row r="52" spans="1:1" x14ac:dyDescent="0.55000000000000004">
      <c r="A52">
        <v>51</v>
      </c>
    </row>
    <row r="53" spans="1:1" x14ac:dyDescent="0.55000000000000004">
      <c r="A53">
        <v>52</v>
      </c>
    </row>
    <row r="54" spans="1:1" x14ac:dyDescent="0.55000000000000004">
      <c r="A54">
        <v>53</v>
      </c>
    </row>
    <row r="55" spans="1:1" x14ac:dyDescent="0.55000000000000004">
      <c r="A55">
        <v>54</v>
      </c>
    </row>
    <row r="56" spans="1:1" x14ac:dyDescent="0.55000000000000004">
      <c r="A56">
        <v>55</v>
      </c>
    </row>
    <row r="57" spans="1:1" x14ac:dyDescent="0.55000000000000004">
      <c r="A57">
        <v>56</v>
      </c>
    </row>
    <row r="58" spans="1:1" x14ac:dyDescent="0.55000000000000004">
      <c r="A58">
        <v>57</v>
      </c>
    </row>
    <row r="59" spans="1:1" x14ac:dyDescent="0.55000000000000004">
      <c r="A59">
        <v>58</v>
      </c>
    </row>
    <row r="60" spans="1:1" x14ac:dyDescent="0.55000000000000004">
      <c r="A60">
        <v>59</v>
      </c>
    </row>
    <row r="61" spans="1:1" x14ac:dyDescent="0.55000000000000004">
      <c r="A61">
        <v>60</v>
      </c>
    </row>
    <row r="62" spans="1:1" x14ac:dyDescent="0.55000000000000004">
      <c r="A62">
        <v>61</v>
      </c>
    </row>
    <row r="63" spans="1:1" x14ac:dyDescent="0.55000000000000004">
      <c r="A63">
        <v>62</v>
      </c>
    </row>
    <row r="64" spans="1:1" x14ac:dyDescent="0.55000000000000004">
      <c r="A64">
        <v>63</v>
      </c>
    </row>
    <row r="65" spans="1:1" x14ac:dyDescent="0.55000000000000004">
      <c r="A65">
        <v>64</v>
      </c>
    </row>
    <row r="66" spans="1:1" x14ac:dyDescent="0.55000000000000004">
      <c r="A66">
        <v>65</v>
      </c>
    </row>
    <row r="67" spans="1:1" x14ac:dyDescent="0.55000000000000004">
      <c r="A67">
        <v>66</v>
      </c>
    </row>
    <row r="68" spans="1:1" x14ac:dyDescent="0.55000000000000004">
      <c r="A68">
        <v>67</v>
      </c>
    </row>
    <row r="69" spans="1:1" x14ac:dyDescent="0.55000000000000004">
      <c r="A69">
        <v>68</v>
      </c>
    </row>
    <row r="70" spans="1:1" x14ac:dyDescent="0.55000000000000004">
      <c r="A70">
        <v>69</v>
      </c>
    </row>
    <row r="71" spans="1:1" x14ac:dyDescent="0.55000000000000004">
      <c r="A71">
        <v>70</v>
      </c>
    </row>
    <row r="72" spans="1:1" x14ac:dyDescent="0.55000000000000004">
      <c r="A72">
        <v>71</v>
      </c>
    </row>
    <row r="73" spans="1:1" x14ac:dyDescent="0.55000000000000004">
      <c r="A73">
        <v>72</v>
      </c>
    </row>
    <row r="74" spans="1:1" x14ac:dyDescent="0.55000000000000004">
      <c r="A74">
        <v>73</v>
      </c>
    </row>
    <row r="75" spans="1:1" x14ac:dyDescent="0.55000000000000004">
      <c r="A75">
        <v>74</v>
      </c>
    </row>
    <row r="76" spans="1:1" x14ac:dyDescent="0.55000000000000004">
      <c r="A76">
        <v>75</v>
      </c>
    </row>
    <row r="77" spans="1:1" x14ac:dyDescent="0.55000000000000004">
      <c r="A77">
        <v>76</v>
      </c>
    </row>
    <row r="78" spans="1:1" x14ac:dyDescent="0.55000000000000004">
      <c r="A78">
        <v>77</v>
      </c>
    </row>
    <row r="79" spans="1:1" x14ac:dyDescent="0.55000000000000004">
      <c r="A79">
        <v>78</v>
      </c>
    </row>
    <row r="80" spans="1:1" x14ac:dyDescent="0.55000000000000004">
      <c r="A80">
        <v>79</v>
      </c>
    </row>
    <row r="81" spans="1:1" x14ac:dyDescent="0.55000000000000004">
      <c r="A81">
        <v>80</v>
      </c>
    </row>
    <row r="82" spans="1:1" x14ac:dyDescent="0.55000000000000004">
      <c r="A82">
        <v>81</v>
      </c>
    </row>
    <row r="83" spans="1:1" x14ac:dyDescent="0.55000000000000004">
      <c r="A83">
        <v>82</v>
      </c>
    </row>
    <row r="84" spans="1:1" x14ac:dyDescent="0.55000000000000004">
      <c r="A84">
        <v>83</v>
      </c>
    </row>
    <row r="85" spans="1:1" x14ac:dyDescent="0.55000000000000004">
      <c r="A85">
        <v>84</v>
      </c>
    </row>
    <row r="86" spans="1:1" x14ac:dyDescent="0.55000000000000004">
      <c r="A86">
        <v>85</v>
      </c>
    </row>
    <row r="87" spans="1:1" x14ac:dyDescent="0.55000000000000004">
      <c r="A87">
        <v>86</v>
      </c>
    </row>
    <row r="88" spans="1:1" x14ac:dyDescent="0.55000000000000004">
      <c r="A88">
        <v>87</v>
      </c>
    </row>
    <row r="89" spans="1:1" x14ac:dyDescent="0.55000000000000004">
      <c r="A89">
        <v>88</v>
      </c>
    </row>
    <row r="90" spans="1:1" x14ac:dyDescent="0.55000000000000004">
      <c r="A90">
        <v>89</v>
      </c>
    </row>
    <row r="91" spans="1:1" x14ac:dyDescent="0.55000000000000004">
      <c r="A91">
        <v>90</v>
      </c>
    </row>
    <row r="92" spans="1:1" x14ac:dyDescent="0.55000000000000004">
      <c r="A92">
        <v>91</v>
      </c>
    </row>
    <row r="93" spans="1:1" x14ac:dyDescent="0.55000000000000004">
      <c r="A93">
        <v>92</v>
      </c>
    </row>
    <row r="94" spans="1:1" x14ac:dyDescent="0.55000000000000004">
      <c r="A94">
        <v>93</v>
      </c>
    </row>
    <row r="95" spans="1:1" x14ac:dyDescent="0.55000000000000004">
      <c r="A95">
        <v>94</v>
      </c>
    </row>
    <row r="96" spans="1:1" x14ac:dyDescent="0.55000000000000004">
      <c r="A96">
        <v>95</v>
      </c>
    </row>
    <row r="97" spans="1:1" x14ac:dyDescent="0.55000000000000004">
      <c r="A97">
        <v>96</v>
      </c>
    </row>
    <row r="98" spans="1:1" x14ac:dyDescent="0.55000000000000004">
      <c r="A98">
        <v>97</v>
      </c>
    </row>
    <row r="99" spans="1:1" x14ac:dyDescent="0.55000000000000004">
      <c r="A99">
        <v>98</v>
      </c>
    </row>
    <row r="100" spans="1:1" x14ac:dyDescent="0.55000000000000004">
      <c r="A100">
        <v>99</v>
      </c>
    </row>
    <row r="101" spans="1:1" x14ac:dyDescent="0.55000000000000004">
      <c r="A101">
        <v>100</v>
      </c>
    </row>
    <row r="102" spans="1:1" x14ac:dyDescent="0.55000000000000004">
      <c r="A102">
        <v>101</v>
      </c>
    </row>
    <row r="103" spans="1:1" x14ac:dyDescent="0.55000000000000004">
      <c r="A103">
        <v>102</v>
      </c>
    </row>
    <row r="104" spans="1:1" x14ac:dyDescent="0.55000000000000004">
      <c r="A104">
        <v>103</v>
      </c>
    </row>
    <row r="105" spans="1:1" x14ac:dyDescent="0.55000000000000004">
      <c r="A105">
        <v>104</v>
      </c>
    </row>
    <row r="106" spans="1:1" x14ac:dyDescent="0.55000000000000004">
      <c r="A106">
        <v>105</v>
      </c>
    </row>
    <row r="107" spans="1:1" x14ac:dyDescent="0.55000000000000004">
      <c r="A107">
        <v>106</v>
      </c>
    </row>
    <row r="108" spans="1:1" x14ac:dyDescent="0.55000000000000004">
      <c r="A108">
        <v>107</v>
      </c>
    </row>
    <row r="109" spans="1:1" x14ac:dyDescent="0.55000000000000004">
      <c r="A109">
        <v>108</v>
      </c>
    </row>
    <row r="110" spans="1:1" x14ac:dyDescent="0.55000000000000004">
      <c r="A110">
        <v>109</v>
      </c>
    </row>
    <row r="111" spans="1:1" x14ac:dyDescent="0.55000000000000004">
      <c r="A111">
        <v>110</v>
      </c>
    </row>
    <row r="112" spans="1:1" x14ac:dyDescent="0.55000000000000004">
      <c r="A112">
        <v>111</v>
      </c>
    </row>
    <row r="113" spans="1:1" x14ac:dyDescent="0.55000000000000004">
      <c r="A113">
        <v>112</v>
      </c>
    </row>
    <row r="114" spans="1:1" x14ac:dyDescent="0.55000000000000004">
      <c r="A114">
        <v>113</v>
      </c>
    </row>
    <row r="115" spans="1:1" x14ac:dyDescent="0.55000000000000004">
      <c r="A115">
        <v>114</v>
      </c>
    </row>
    <row r="116" spans="1:1" x14ac:dyDescent="0.55000000000000004">
      <c r="A116">
        <v>115</v>
      </c>
    </row>
    <row r="117" spans="1:1" x14ac:dyDescent="0.55000000000000004">
      <c r="A117">
        <v>116</v>
      </c>
    </row>
    <row r="118" spans="1:1" x14ac:dyDescent="0.55000000000000004">
      <c r="A118">
        <v>117</v>
      </c>
    </row>
    <row r="119" spans="1:1" x14ac:dyDescent="0.55000000000000004">
      <c r="A119">
        <v>118</v>
      </c>
    </row>
    <row r="120" spans="1:1" x14ac:dyDescent="0.55000000000000004">
      <c r="A120">
        <v>119</v>
      </c>
    </row>
    <row r="121" spans="1:1" x14ac:dyDescent="0.55000000000000004">
      <c r="A121">
        <v>120</v>
      </c>
    </row>
    <row r="122" spans="1:1" x14ac:dyDescent="0.55000000000000004">
      <c r="A122">
        <v>121</v>
      </c>
    </row>
    <row r="123" spans="1:1" x14ac:dyDescent="0.55000000000000004">
      <c r="A123">
        <v>122</v>
      </c>
    </row>
    <row r="124" spans="1:1" x14ac:dyDescent="0.55000000000000004">
      <c r="A124">
        <v>123</v>
      </c>
    </row>
    <row r="125" spans="1:1" x14ac:dyDescent="0.55000000000000004">
      <c r="A125">
        <v>124</v>
      </c>
    </row>
    <row r="126" spans="1:1" x14ac:dyDescent="0.55000000000000004">
      <c r="A126">
        <v>125</v>
      </c>
    </row>
    <row r="127" spans="1:1" x14ac:dyDescent="0.55000000000000004">
      <c r="A127">
        <v>126</v>
      </c>
    </row>
    <row r="128" spans="1:1" x14ac:dyDescent="0.55000000000000004">
      <c r="A128">
        <v>127</v>
      </c>
    </row>
    <row r="129" spans="1:1" x14ac:dyDescent="0.55000000000000004">
      <c r="A129">
        <v>128</v>
      </c>
    </row>
    <row r="130" spans="1:1" x14ac:dyDescent="0.55000000000000004">
      <c r="A130">
        <v>129</v>
      </c>
    </row>
    <row r="131" spans="1:1" x14ac:dyDescent="0.55000000000000004">
      <c r="A131">
        <v>130</v>
      </c>
    </row>
    <row r="132" spans="1:1" x14ac:dyDescent="0.55000000000000004">
      <c r="A132">
        <v>131</v>
      </c>
    </row>
    <row r="133" spans="1:1" x14ac:dyDescent="0.55000000000000004">
      <c r="A133">
        <v>132</v>
      </c>
    </row>
    <row r="134" spans="1:1" x14ac:dyDescent="0.55000000000000004">
      <c r="A134">
        <v>133</v>
      </c>
    </row>
    <row r="135" spans="1:1" x14ac:dyDescent="0.55000000000000004">
      <c r="A135">
        <v>134</v>
      </c>
    </row>
    <row r="136" spans="1:1" x14ac:dyDescent="0.55000000000000004">
      <c r="A136">
        <v>135</v>
      </c>
    </row>
    <row r="137" spans="1:1" x14ac:dyDescent="0.55000000000000004">
      <c r="A137">
        <v>136</v>
      </c>
    </row>
    <row r="138" spans="1:1" x14ac:dyDescent="0.55000000000000004">
      <c r="A138">
        <v>137</v>
      </c>
    </row>
    <row r="139" spans="1:1" x14ac:dyDescent="0.55000000000000004">
      <c r="A139">
        <v>138</v>
      </c>
    </row>
    <row r="140" spans="1:1" x14ac:dyDescent="0.55000000000000004">
      <c r="A140">
        <v>139</v>
      </c>
    </row>
    <row r="141" spans="1:1" x14ac:dyDescent="0.55000000000000004">
      <c r="A141">
        <v>140</v>
      </c>
    </row>
    <row r="142" spans="1:1" x14ac:dyDescent="0.55000000000000004">
      <c r="A142">
        <v>141</v>
      </c>
    </row>
    <row r="143" spans="1:1" x14ac:dyDescent="0.55000000000000004">
      <c r="A143">
        <v>142</v>
      </c>
    </row>
    <row r="144" spans="1:1" x14ac:dyDescent="0.55000000000000004">
      <c r="A144">
        <v>143</v>
      </c>
    </row>
    <row r="145" spans="1:1" x14ac:dyDescent="0.55000000000000004">
      <c r="A145">
        <v>144</v>
      </c>
    </row>
    <row r="146" spans="1:1" x14ac:dyDescent="0.55000000000000004">
      <c r="A146">
        <v>145</v>
      </c>
    </row>
    <row r="147" spans="1:1" x14ac:dyDescent="0.55000000000000004">
      <c r="A147">
        <v>146</v>
      </c>
    </row>
    <row r="148" spans="1:1" x14ac:dyDescent="0.55000000000000004">
      <c r="A148">
        <v>147</v>
      </c>
    </row>
    <row r="149" spans="1:1" x14ac:dyDescent="0.55000000000000004">
      <c r="A149">
        <v>148</v>
      </c>
    </row>
    <row r="150" spans="1:1" x14ac:dyDescent="0.55000000000000004">
      <c r="A150">
        <v>149</v>
      </c>
    </row>
    <row r="151" spans="1:1" x14ac:dyDescent="0.55000000000000004">
      <c r="A151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Calculation</vt:lpstr>
      <vt:lpstr>Constants</vt:lpstr>
      <vt:lpstr>FLim</vt:lpstr>
      <vt:lpstr>Phi</vt:lpstr>
      <vt:lpstr>Piles</vt:lpstr>
      <vt:lpstr>QLim</vt:lpstr>
      <vt:lpstr>Soils</vt:lpstr>
      <vt:lpstr>Thickness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2024-11-16T13:26:37Z</dcterms:modified>
</cp:coreProperties>
</file>